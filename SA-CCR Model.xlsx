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y website\"/>
    </mc:Choice>
  </mc:AlternateContent>
  <xr:revisionPtr revIDLastSave="0" documentId="13_ncr:1_{B285F07A-F0A6-4C5D-8C68-EA506357D9C9}" xr6:coauthVersionLast="47" xr6:coauthVersionMax="47" xr10:uidLastSave="{00000000-0000-0000-0000-000000000000}"/>
  <bookViews>
    <workbookView xWindow="28680" yWindow="-120" windowWidth="20730" windowHeight="11040" xr2:uid="{292C9C36-5BD6-4200-9D09-254E443E619D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1" l="1"/>
  <c r="C43" i="1"/>
  <c r="B81" i="1"/>
  <c r="B83" i="1" s="1"/>
  <c r="F43" i="1"/>
  <c r="E43" i="1"/>
  <c r="D42" i="1"/>
  <c r="C41" i="1"/>
  <c r="Z24" i="1"/>
  <c r="AD24" i="1" s="1"/>
  <c r="D41" i="1" s="1"/>
  <c r="Z25" i="1"/>
  <c r="AD25" i="1" s="1"/>
  <c r="E42" i="1" s="1"/>
  <c r="Z26" i="1"/>
  <c r="AD26" i="1" s="1"/>
  <c r="C47" i="1" s="1"/>
  <c r="E47" i="1" s="1"/>
  <c r="B75" i="1" s="1"/>
  <c r="Z27" i="1"/>
  <c r="AD27" i="1" s="1"/>
  <c r="Z28" i="1"/>
  <c r="AD28" i="1" s="1"/>
  <c r="D51" i="1" s="1"/>
  <c r="G51" i="1" s="1"/>
  <c r="Z29" i="1"/>
  <c r="AD29" i="1" s="1"/>
  <c r="D52" i="1" s="1"/>
  <c r="G52" i="1" s="1"/>
  <c r="Z30" i="1"/>
  <c r="AD30" i="1" s="1"/>
  <c r="D62" i="1" s="1"/>
  <c r="G62" i="1" s="1"/>
  <c r="Z31" i="1"/>
  <c r="AD31" i="1" s="1"/>
  <c r="D63" i="1" s="1"/>
  <c r="G63" i="1" s="1"/>
  <c r="Z32" i="1"/>
  <c r="AD32" i="1" s="1"/>
  <c r="D64" i="1" s="1"/>
  <c r="G64" i="1" s="1"/>
  <c r="Z33" i="1"/>
  <c r="AD33" i="1" s="1"/>
  <c r="D43" i="1" s="1"/>
  <c r="Z34" i="1"/>
  <c r="AD34" i="1" s="1"/>
  <c r="D53" i="1" s="1"/>
  <c r="G53" i="1" s="1"/>
  <c r="Z23" i="1"/>
  <c r="AD23" i="1" s="1"/>
  <c r="E41" i="1" s="1"/>
  <c r="G42" i="1" l="1"/>
  <c r="H42" i="1" s="1"/>
  <c r="G43" i="1"/>
  <c r="H43" i="1" s="1"/>
  <c r="I63" i="1"/>
  <c r="H63" i="1"/>
  <c r="H52" i="1"/>
  <c r="I52" i="1"/>
  <c r="H53" i="1"/>
  <c r="C58" i="1" s="1"/>
  <c r="I53" i="1"/>
  <c r="D58" i="1" s="1"/>
  <c r="G41" i="1"/>
  <c r="H41" i="1" s="1"/>
  <c r="I64" i="1"/>
  <c r="D69" i="1" s="1"/>
  <c r="H64" i="1"/>
  <c r="C69" i="1" s="1"/>
  <c r="H51" i="1"/>
  <c r="I51" i="1"/>
  <c r="H62" i="1"/>
  <c r="C68" i="1" s="1"/>
  <c r="I62" i="1"/>
  <c r="D68" i="1" l="1"/>
  <c r="E68" i="1" s="1"/>
  <c r="E69" i="1"/>
  <c r="B74" i="1"/>
  <c r="C57" i="1"/>
  <c r="D57" i="1"/>
  <c r="E58" i="1"/>
  <c r="E57" i="1"/>
  <c r="B76" i="1" s="1"/>
  <c r="B77" i="1" l="1"/>
  <c r="B78" i="1" s="1"/>
  <c r="B86" i="1" s="1"/>
</calcChain>
</file>

<file path=xl/sharedStrings.xml><?xml version="1.0" encoding="utf-8"?>
<sst xmlns="http://schemas.openxmlformats.org/spreadsheetml/2006/main" count="295" uniqueCount="157">
  <si>
    <t>Trade ID</t>
  </si>
  <si>
    <t>Netting Set</t>
  </si>
  <si>
    <t>Asset Class</t>
  </si>
  <si>
    <t>Hedging Set</t>
  </si>
  <si>
    <t>SF Subclass (Table 2 key)</t>
  </si>
  <si>
    <t>Trade Type</t>
  </si>
  <si>
    <t>Is Option?</t>
  </si>
  <si>
    <t>Option Type</t>
  </si>
  <si>
    <t>Bought/sold</t>
  </si>
  <si>
    <t>Long/Short</t>
  </si>
  <si>
    <t>Notional (Local Ccy)</t>
  </si>
  <si>
    <t>Ccy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</si>
  <si>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</si>
  <si>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</si>
  <si>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</si>
  <si>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</si>
  <si>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</si>
  <si>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</si>
  <si>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</si>
  <si>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</si>
  <si>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</si>
  <si>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</si>
  <si>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</si>
  <si>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</si>
  <si>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NS1</t>
  </si>
  <si>
    <t>NS2</t>
  </si>
  <si>
    <t>NS3</t>
  </si>
  <si>
    <t>NS4</t>
  </si>
  <si>
    <t>NS5</t>
  </si>
  <si>
    <t>NS6</t>
  </si>
  <si>
    <t>NS7</t>
  </si>
  <si>
    <t>NS8</t>
  </si>
  <si>
    <t>NS9</t>
  </si>
  <si>
    <t>NS10</t>
  </si>
  <si>
    <t>NS11</t>
  </si>
  <si>
    <t>NS12</t>
  </si>
  <si>
    <t>Interest Rate</t>
  </si>
  <si>
    <t>FX</t>
  </si>
  <si>
    <t>Equity</t>
  </si>
  <si>
    <t>Commodity</t>
  </si>
  <si>
    <t>USD</t>
  </si>
  <si>
    <t>EUR</t>
  </si>
  <si>
    <t>USD/JPY</t>
  </si>
  <si>
    <t>EUR/USD</t>
  </si>
  <si>
    <t>Energy</t>
  </si>
  <si>
    <t>Metals</t>
  </si>
  <si>
    <t>USD-Basis</t>
  </si>
  <si>
    <t>Equity-Volatility</t>
  </si>
  <si>
    <t>TechCorp Inc</t>
  </si>
  <si>
    <t>S&amp;P 500</t>
  </si>
  <si>
    <t>Crude Oil</t>
  </si>
  <si>
    <t>Electricity</t>
  </si>
  <si>
    <t>Gold</t>
  </si>
  <si>
    <t>1M v 3M SOFR</t>
  </si>
  <si>
    <t>Single Name</t>
  </si>
  <si>
    <t>Index</t>
  </si>
  <si>
    <t>Oil/Gas</t>
  </si>
  <si>
    <t>Vanilla Swap</t>
  </si>
  <si>
    <t>N</t>
  </si>
  <si>
    <t>Long</t>
  </si>
  <si>
    <t>Short</t>
  </si>
  <si>
    <t>Swaption (Payer, cash-settled)</t>
  </si>
  <si>
    <t>Y</t>
  </si>
  <si>
    <t>Call</t>
  </si>
  <si>
    <t>Bought</t>
  </si>
  <si>
    <t>FX Forward</t>
  </si>
  <si>
    <t>JPY</t>
  </si>
  <si>
    <t>FX Option</t>
  </si>
  <si>
    <t>Equity Forward</t>
  </si>
  <si>
    <t>Equity Index Option</t>
  </si>
  <si>
    <t>Put</t>
  </si>
  <si>
    <t>Commodity Forward</t>
  </si>
  <si>
    <t>Commodity Option</t>
  </si>
  <si>
    <t>Sold</t>
  </si>
  <si>
    <t>Basis Swap</t>
  </si>
  <si>
    <t>Equity Variance Swap</t>
  </si>
  <si>
    <t>S-start (yrs)</t>
  </si>
  <si>
    <t>E-end (yrs)</t>
  </si>
  <si>
    <t>T- exercise (yrs)</t>
  </si>
  <si>
    <t>Price P (option)</t>
  </si>
  <si>
    <t>Strike K (option)</t>
  </si>
  <si>
    <t>Supervisory Vol σ (optional)</t>
  </si>
  <si>
    <t>MTM (USD)</t>
  </si>
  <si>
    <t>FX Rate (USD/unit)</t>
  </si>
  <si>
    <t>Notional (USD)</t>
  </si>
  <si>
    <t>Supervisory Duration SD</t>
  </si>
  <si>
    <t>Adjusted Notional d</t>
  </si>
  <si>
    <t>Maturity Factor MF</t>
  </si>
  <si>
    <t>Effective Notional</t>
  </si>
  <si>
    <t>Hedging Set (currency)</t>
  </si>
  <si>
    <t>D1 (&lt;1yr)</t>
  </si>
  <si>
    <t>D2 (1-5yr)</t>
  </si>
  <si>
    <t>D3 (&gt;5yr)</t>
  </si>
  <si>
    <t>SF Applied</t>
  </si>
  <si>
    <t>AddOn (IR, per HS)</t>
  </si>
  <si>
    <t>Sub-Group /Entity</t>
  </si>
  <si>
    <t>M-maturity for MF ($155</t>
  </si>
  <si>
    <t>Special Hedging Set</t>
  </si>
  <si>
    <t>Basis</t>
  </si>
  <si>
    <t>Volatility</t>
  </si>
  <si>
    <t>n/a</t>
  </si>
  <si>
    <t>d1 (option)</t>
  </si>
  <si>
    <t>Supervisory  Delta</t>
  </si>
  <si>
    <t>IR Maturity Bucket</t>
  </si>
  <si>
    <t>Hedging Set Aggregation</t>
  </si>
  <si>
    <t>1. Interest Rate- curency (or basis-pair): bucketed by end date E ($166)</t>
  </si>
  <si>
    <t>2. Foreign  Exchange -hedging set = currency pair, full offset within  a pair, none across pairs($170-171)</t>
  </si>
  <si>
    <t>Netting set</t>
  </si>
  <si>
    <t>Hedging Set (Ccy Pair)</t>
  </si>
  <si>
    <t>Net Effective Notional</t>
  </si>
  <si>
    <t>Addon (FX, perHS)</t>
  </si>
  <si>
    <t>3. Equity- hedging set is the whole asset class; full offset within an entity, partial ( single-factor) offset across entities ($176-177)</t>
  </si>
  <si>
    <t>Hedging Set Label</t>
  </si>
  <si>
    <t>Entity</t>
  </si>
  <si>
    <t>Correlation</t>
  </si>
  <si>
    <t>Entity AddOn</t>
  </si>
  <si>
    <t>ρ* AddOn (systematic term)</t>
  </si>
  <si>
    <t>(1-ρ²)*AddOn^2 (idiosyncratic term)</t>
  </si>
  <si>
    <t>Equity Pools (systematic^2 + idiosyncratic,$177) -one pool per Netting  Set *Hedging-Set-Label</t>
  </si>
  <si>
    <t>Systematic Σ(ρ×AddOn)</t>
  </si>
  <si>
    <t>Pool AddOn (equity)</t>
  </si>
  <si>
    <t>Idiosyncratic
Σ((1-ρ²)AddOn²)</t>
  </si>
  <si>
    <t>4.Commodity -hedging set = broad category (Energy/Metals/Agriculture/Other); full offset within a commodity type, partial offset types in the same hedging set, none acrss hedging set($178-182)</t>
  </si>
  <si>
    <t>Hedging Set (category)</t>
  </si>
  <si>
    <t>Commodity Type</t>
  </si>
  <si>
    <t>Commodity AddOn</t>
  </si>
  <si>
    <t>Correlation ρ</t>
  </si>
  <si>
    <t>ρ*AddOn (systematic term)</t>
  </si>
  <si>
    <t>(1-ρ²)×AddOn²
(idiosyncratic term)</t>
  </si>
  <si>
    <t>Commodity pools (systematic^2 + idiosyncratic,$182) - one pool per Netting Set *Broad Category</t>
  </si>
  <si>
    <t>Idiosyncratic 
Σ((1-ρ²)AddOn²)</t>
  </si>
  <si>
    <t>Pool AddOn
(commodity)</t>
  </si>
  <si>
    <t>Calculation of EAD</t>
  </si>
  <si>
    <t>STEP 1-PFE Add-On by Asset Class ($150,154-182)</t>
  </si>
  <si>
    <t>AddOn-Interest Rate</t>
  </si>
  <si>
    <t>AddOn-FX</t>
  </si>
  <si>
    <t>AddOn-Equity</t>
  </si>
  <si>
    <t>AddOn-Commodity</t>
  </si>
  <si>
    <t>AddOn (aggregate)-simple sum across asset classes($150)</t>
  </si>
  <si>
    <t>STEP 2- Replacement Cost (RC)</t>
  </si>
  <si>
    <t>V-Sum of trade MTM</t>
  </si>
  <si>
    <t>C-Collateral</t>
  </si>
  <si>
    <t>Replacement Cost =Max (V-C,0)</t>
  </si>
  <si>
    <t>STEP3 - EAD</t>
  </si>
  <si>
    <t>EAD =  α × (RC + PFE)   [α = 1.4]</t>
  </si>
  <si>
    <t>Trade Data- SA-CCR Trade -Level Calculation Engine</t>
  </si>
  <si>
    <t>Table 2 — Supervisory Parameters (BCBS 279 §183)</t>
  </si>
  <si>
    <t>Subclass</t>
  </si>
  <si>
    <t>Supervisory Factor (SF)</t>
  </si>
  <si>
    <t>Correlation (ρ)</t>
  </si>
  <si>
    <t>Supervisory Option Vol</t>
  </si>
  <si>
    <t>N/A</t>
  </si>
  <si>
    <t>Foreign Exchange</t>
  </si>
  <si>
    <t>SA-CCR Supervisory Parameters  (BCBS 279, March 2014, rev. April 2014)</t>
  </si>
  <si>
    <t>FX Rate Table (USD per 1 unit of currency)</t>
  </si>
  <si>
    <t>Currency</t>
  </si>
  <si>
    <t>USD per 1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</si>
</sst>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0"/>
    <numFmt numFmtId="165" formatCode="0.000000"/>
    <numFmt numFmtId="166" formatCode="#,##0.000000"/>
    <numFmt numFmtId="167" formatCode="0.0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181818"/>
      <name val="Arial"/>
      <family val="2"/>
    </font>
    <font>
      <sz val="24"/>
      <color theme="0"/>
      <name val="Aptos Narrow"/>
      <family val="2"/>
      <scheme val="minor"/>
    </font>
    <font>
      <sz val="9"/>
      <color rgb="FF242424"/>
      <name val="Aptos Narrow"/>
      <family val="2"/>
      <scheme val="minor"/>
    </font>
    <font>
      <sz val="16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6"/>
      <color rgb="FFFFFFFF"/>
      <name val="Arial"/>
      <family val="2"/>
    </font>
    <font>
      <i/>
      <sz val="9"/>
      <color rgb="FF7F7F7F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1F4E78"/>
        <bgColor rgb="FF203864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3" fontId="4" fillId="0" borderId="0" xfId="0" applyNumberFormat="1" applyFont="1" applyAlignment="1">
      <alignment horizontal="right" vertical="center" wrapText="1" indent="1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right" vertical="center" wrapText="1" indent="1"/>
    </xf>
    <xf numFmtId="0" fontId="0" fillId="2" borderId="0" xfId="0" applyFill="1" applyAlignment="1">
      <alignment horizontal="center" vertical="center" wrapText="1"/>
    </xf>
    <xf numFmtId="165" fontId="4" fillId="0" borderId="0" xfId="0" applyNumberFormat="1" applyFont="1" applyAlignment="1">
      <alignment horizontal="right" vertical="center" wrapText="1" indent="1"/>
    </xf>
    <xf numFmtId="166" fontId="4" fillId="0" borderId="0" xfId="0" applyNumberFormat="1" applyFont="1" applyAlignment="1">
      <alignment horizontal="right" vertical="center" wrapText="1" indent="1"/>
    </xf>
    <xf numFmtId="167" fontId="4" fillId="0" borderId="0" xfId="0" applyNumberFormat="1" applyFont="1" applyAlignment="1">
      <alignment horizontal="right" vertical="center" wrapText="1" indent="1"/>
    </xf>
    <xf numFmtId="167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4" fillId="2" borderId="0" xfId="0" applyFont="1" applyFill="1" applyAlignment="1">
      <alignment horizontal="left" vertical="center" wrapText="1"/>
    </xf>
    <xf numFmtId="3" fontId="4" fillId="2" borderId="0" xfId="0" applyNumberFormat="1" applyFont="1" applyFill="1" applyAlignment="1">
      <alignment horizontal="right" vertical="center" wrapText="1"/>
    </xf>
    <xf numFmtId="10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left" vertical="center" wrapText="1"/>
    </xf>
    <xf numFmtId="0" fontId="0" fillId="4" borderId="0" xfId="0" applyFill="1"/>
    <xf numFmtId="0" fontId="4" fillId="4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 inden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6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6" borderId="0" xfId="0" applyFill="1" applyAlignment="1">
      <alignment wrapText="1"/>
    </xf>
    <xf numFmtId="2" fontId="4" fillId="0" borderId="0" xfId="3" applyNumberFormat="1" applyFont="1" applyAlignment="1">
      <alignment horizontal="right" vertical="center" wrapText="1" indent="1"/>
    </xf>
    <xf numFmtId="2" fontId="0" fillId="0" borderId="0" xfId="3" applyNumberFormat="1" applyFont="1" applyAlignment="1">
      <alignment wrapText="1"/>
    </xf>
    <xf numFmtId="0" fontId="8" fillId="3" borderId="0" xfId="0" applyFont="1" applyFill="1" applyAlignment="1">
      <alignment wrapText="1"/>
    </xf>
    <xf numFmtId="0" fontId="10" fillId="8" borderId="3" xfId="0" applyFont="1" applyFill="1" applyBorder="1" applyAlignment="1">
      <alignment horizontal="center" vertical="center" wrapText="1"/>
    </xf>
    <xf numFmtId="0" fontId="11" fillId="0" borderId="3" xfId="0" applyFont="1" applyBorder="1"/>
    <xf numFmtId="10" fontId="11" fillId="0" borderId="3" xfId="0" applyNumberFormat="1" applyFont="1" applyBorder="1"/>
    <xf numFmtId="0" fontId="14" fillId="0" borderId="0" xfId="0" applyFont="1"/>
    <xf numFmtId="0" fontId="7" fillId="3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9" fillId="7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12" fillId="8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top" wrapText="1"/>
    </xf>
    <xf numFmtId="0" fontId="9" fillId="7" borderId="1" xfId="0" applyFont="1" applyFill="1" applyBorder="1"/>
    <xf numFmtId="0" fontId="9" fillId="7" borderId="4" xfId="0" applyFont="1" applyFill="1" applyBorder="1"/>
    <xf numFmtId="0" fontId="0" fillId="0" borderId="0" xfId="0" applyAlignment="1">
      <alignment horizontal="center" wrapText="1"/>
    </xf>
    <xf numFmtId="0" fontId="5" fillId="3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 vertical="top" wrapText="1"/>
    </xf>
  </cellXfs>
  <cellStyles count="4">
    <cellStyle name="Comma" xfId="3" builtinId="3"/>
    <cellStyle name="Normal" xfId="0" builtinId="0"/>
    <cellStyle name="Normal 2" xfId="1" xr:uid="{3BDAFCAC-D3A9-4005-BF2C-403219780C34}"/>
    <cellStyle name="Per cent 2" xfId="2" xr:uid="{21BC75CA-06DE-4402-BA4A-3937F0523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A4B2F7-631D-423F-B891-A12C9456BCB4}">
  <we:reference id="wa200010725" version="1.0.0.1" store="en-GB" storeType="OMEX"/>
  <we:alternateReferences>
    <we:reference id="WA200010725" version="1.0.0.1" store="" storeType="OMEX"/>
  </we:alternateReferences>
  <we:properties>
    <we:property name="claude.fileId" value="&quot;9cf84982-6f92-4dfe-be7e-20a4ffb066d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052A-99FC-40A6-BDDC-91B72C9BB0D3}">
  <dimension ref="A1:AE86"/>
  <sheetViews>
    <sheetView tabSelected="1" topLeftCell="A40" zoomScale="120" zoomScaleNormal="120" workbookViewId="0">
      <selection activeCell="C43" sqref="C43"/>
    </sheetView>
  </sheetViews>
  <sheetFormatPr defaultRowHeight="14.4" x14ac:dyDescent="0.3"/>
  <cols>
    <col min="1" max="1" width="47.88671875" style="2" customWidth="1"/>
    <col min="2" max="2" width="19" style="2" customWidth="1"/>
    <col min="3" max="3" width="12.21875" style="2" customWidth="1"/>
    <col min="4" max="4" width="17.5546875" style="2" customWidth="1"/>
    <col min="5" max="5" width="12.21875" style="2" customWidth="1"/>
    <col min="6" max="6" width="13" style="2" customWidth="1"/>
    <col min="7" max="7" width="12.5546875" style="2" customWidth="1"/>
    <col min="8" max="8" width="14" style="2" customWidth="1"/>
    <col min="9" max="9" width="59.21875" style="2" customWidth="1"/>
    <col min="10" max="10" width="7.109375" style="2" customWidth="1"/>
    <col min="11" max="11" width="5.77734375" style="2" customWidth="1"/>
    <col min="12" max="12" width="15.88671875" style="2" customWidth="1"/>
    <col min="13" max="14" width="8.88671875" style="2"/>
    <col min="15" max="15" width="20.6640625" style="2" customWidth="1"/>
    <col min="16" max="16" width="8.88671875" style="2"/>
    <col min="17" max="17" width="10.6640625" style="2" customWidth="1"/>
    <col min="18" max="18" width="10.44140625" style="2" bestFit="1" customWidth="1"/>
    <col min="19" max="19" width="8.77734375" style="2" bestFit="1" customWidth="1"/>
    <col min="20" max="20" width="12.33203125" style="2" bestFit="1" customWidth="1"/>
    <col min="21" max="21" width="10.109375" style="2" customWidth="1"/>
    <col min="22" max="22" width="10.5546875" style="2" customWidth="1"/>
    <col min="23" max="23" width="10.109375" style="2" bestFit="1" customWidth="1"/>
    <col min="24" max="25" width="8.88671875" style="2"/>
    <col min="26" max="26" width="14.109375" style="2" customWidth="1"/>
    <col min="27" max="27" width="8.88671875" style="2"/>
    <col min="28" max="28" width="10.5546875" style="2" customWidth="1"/>
    <col min="29" max="29" width="8.88671875" style="2"/>
    <col min="30" max="30" width="13.77734375" style="2" customWidth="1"/>
    <col min="31" max="16384" width="8.88671875" style="2"/>
  </cols>
  <sheetData>
    <row r="1" spans="1:6" ht="21" x14ac:dyDescent="0.3">
      <c r="A1" s="47" t="s">
        <v>153</v>
      </c>
      <c r="B1" s="47"/>
      <c r="C1" s="47"/>
      <c r="D1" s="47"/>
      <c r="E1" s="47"/>
      <c r="F1" s="47"/>
    </row>
    <row r="2" spans="1:6" x14ac:dyDescent="0.3">
      <c r="A2" s="48"/>
      <c r="B2" s="48"/>
      <c r="C2" s="48"/>
      <c r="D2" s="48"/>
      <c r="E2" s="48"/>
      <c r="F2" s="48"/>
    </row>
    <row r="3" spans="1:6" x14ac:dyDescent="0.3">
      <c r="A3" s="42"/>
      <c r="B3" s="42"/>
      <c r="C3" s="42"/>
      <c r="D3" s="42"/>
      <c r="E3" s="42"/>
      <c r="F3" s="42"/>
    </row>
    <row r="4" spans="1:6" x14ac:dyDescent="0.3">
      <c r="A4" s="49" t="s">
        <v>154</v>
      </c>
      <c r="B4" s="50"/>
      <c r="C4" s="42"/>
      <c r="D4" s="42"/>
      <c r="E4" s="42"/>
      <c r="F4" s="42"/>
    </row>
    <row r="5" spans="1:6" x14ac:dyDescent="0.3">
      <c r="A5" s="39" t="s">
        <v>155</v>
      </c>
      <c r="B5" s="39" t="s">
        <v>156</v>
      </c>
      <c r="C5" s="42"/>
      <c r="D5" s="42"/>
      <c r="E5" s="42"/>
      <c r="F5" s="42"/>
    </row>
    <row r="6" spans="1:6" x14ac:dyDescent="0.3">
      <c r="A6" s="40" t="s">
        <v>40</v>
      </c>
      <c r="B6" s="40">
        <v>1</v>
      </c>
      <c r="C6" s="42"/>
      <c r="D6" s="42"/>
      <c r="E6" s="42"/>
      <c r="F6" s="42"/>
    </row>
    <row r="7" spans="1:6" x14ac:dyDescent="0.3">
      <c r="A7" s="40" t="s">
        <v>41</v>
      </c>
      <c r="B7" s="40">
        <v>1.08</v>
      </c>
      <c r="C7" s="42"/>
      <c r="D7" s="42"/>
      <c r="E7" s="42"/>
      <c r="F7" s="42"/>
    </row>
    <row r="8" spans="1:6" x14ac:dyDescent="0.3">
      <c r="A8" s="40" t="s">
        <v>66</v>
      </c>
      <c r="B8" s="40">
        <v>6.6670000000000002E-3</v>
      </c>
      <c r="C8" s="42"/>
      <c r="D8" s="42"/>
      <c r="E8" s="42"/>
      <c r="F8" s="42"/>
    </row>
    <row r="11" spans="1:6" x14ac:dyDescent="0.3">
      <c r="A11" s="45" t="s">
        <v>146</v>
      </c>
      <c r="B11" s="46"/>
      <c r="C11" s="46"/>
      <c r="D11" s="46"/>
      <c r="E11" s="46"/>
    </row>
    <row r="12" spans="1:6" ht="26.4" x14ac:dyDescent="0.3">
      <c r="A12" s="39" t="s">
        <v>2</v>
      </c>
      <c r="B12" s="39" t="s">
        <v>147</v>
      </c>
      <c r="C12" s="39" t="s">
        <v>148</v>
      </c>
      <c r="D12" s="39" t="s">
        <v>149</v>
      </c>
      <c r="E12" s="39" t="s">
        <v>150</v>
      </c>
    </row>
    <row r="13" spans="1:6" x14ac:dyDescent="0.3">
      <c r="A13" s="40" t="s">
        <v>36</v>
      </c>
      <c r="B13" s="40" t="s">
        <v>151</v>
      </c>
      <c r="C13" s="41">
        <v>5.0000000000000001E-3</v>
      </c>
      <c r="D13" s="40" t="s">
        <v>151</v>
      </c>
      <c r="E13" s="41">
        <v>0.5</v>
      </c>
    </row>
    <row r="14" spans="1:6" x14ac:dyDescent="0.3">
      <c r="A14" s="40" t="s">
        <v>152</v>
      </c>
      <c r="B14" s="40" t="s">
        <v>151</v>
      </c>
      <c r="C14" s="41">
        <v>0.04</v>
      </c>
      <c r="D14" s="40" t="s">
        <v>151</v>
      </c>
      <c r="E14" s="41">
        <v>0.15</v>
      </c>
    </row>
    <row r="15" spans="1:6" x14ac:dyDescent="0.3">
      <c r="A15" s="40" t="s">
        <v>38</v>
      </c>
      <c r="B15" s="40" t="s">
        <v>54</v>
      </c>
      <c r="C15" s="41">
        <v>0.32</v>
      </c>
      <c r="D15" s="41">
        <v>0.5</v>
      </c>
      <c r="E15" s="41">
        <v>1.2</v>
      </c>
    </row>
    <row r="16" spans="1:6" x14ac:dyDescent="0.3">
      <c r="A16" s="40" t="s">
        <v>38</v>
      </c>
      <c r="B16" s="40" t="s">
        <v>55</v>
      </c>
      <c r="C16" s="41">
        <v>0.2</v>
      </c>
      <c r="D16" s="41">
        <v>0.8</v>
      </c>
      <c r="E16" s="41">
        <v>0.75</v>
      </c>
    </row>
    <row r="17" spans="1:31" x14ac:dyDescent="0.3">
      <c r="A17" s="40" t="s">
        <v>39</v>
      </c>
      <c r="B17" s="40" t="s">
        <v>51</v>
      </c>
      <c r="C17" s="41">
        <v>0.4</v>
      </c>
      <c r="D17" s="41">
        <v>0.4</v>
      </c>
      <c r="E17" s="41">
        <v>1.5</v>
      </c>
    </row>
    <row r="18" spans="1:31" x14ac:dyDescent="0.3">
      <c r="A18" s="40" t="s">
        <v>39</v>
      </c>
      <c r="B18" s="40" t="s">
        <v>56</v>
      </c>
      <c r="C18" s="41">
        <v>0.18</v>
      </c>
      <c r="D18" s="41">
        <v>0.4</v>
      </c>
      <c r="E18" s="41">
        <v>0.7</v>
      </c>
    </row>
    <row r="19" spans="1:31" x14ac:dyDescent="0.3">
      <c r="A19" s="40" t="s">
        <v>39</v>
      </c>
      <c r="B19" s="40" t="s">
        <v>45</v>
      </c>
      <c r="C19" s="41">
        <v>0.18</v>
      </c>
      <c r="D19" s="41">
        <v>0.4</v>
      </c>
      <c r="E19" s="41">
        <v>0.7</v>
      </c>
    </row>
    <row r="21" spans="1:31" s="38" customFormat="1" x14ac:dyDescent="0.3">
      <c r="A21" s="38" t="s">
        <v>145</v>
      </c>
    </row>
    <row r="22" spans="1:31" s="1" customFormat="1" ht="57.6" x14ac:dyDescent="0.3">
      <c r="A22" s="8" t="s">
        <v>0</v>
      </c>
      <c r="B22" s="8" t="s">
        <v>1</v>
      </c>
      <c r="C22" s="8" t="s">
        <v>2</v>
      </c>
      <c r="D22" s="8" t="s">
        <v>3</v>
      </c>
      <c r="E22" s="8" t="s">
        <v>95</v>
      </c>
      <c r="F22" s="8" t="s">
        <v>4</v>
      </c>
      <c r="G22" s="8" t="s">
        <v>5</v>
      </c>
      <c r="H22" s="8" t="s">
        <v>6</v>
      </c>
      <c r="I22" s="8" t="s">
        <v>7</v>
      </c>
      <c r="J22" s="8" t="s">
        <v>8</v>
      </c>
      <c r="K22" s="8" t="s">
        <v>9</v>
      </c>
      <c r="L22" s="8" t="s">
        <v>10</v>
      </c>
      <c r="M22" s="8" t="s">
        <v>11</v>
      </c>
      <c r="N22" s="8" t="s">
        <v>76</v>
      </c>
      <c r="O22" s="8" t="s">
        <v>77</v>
      </c>
      <c r="P22" s="8" t="s">
        <v>78</v>
      </c>
      <c r="Q22" s="8" t="s">
        <v>79</v>
      </c>
      <c r="R22" s="8" t="s">
        <v>80</v>
      </c>
      <c r="S22" s="8" t="s">
        <v>81</v>
      </c>
      <c r="T22" s="8" t="s">
        <v>82</v>
      </c>
      <c r="U22" s="8" t="s">
        <v>97</v>
      </c>
      <c r="V22" s="8" t="s">
        <v>83</v>
      </c>
      <c r="W22" s="8" t="s">
        <v>84</v>
      </c>
      <c r="X22" s="8" t="s">
        <v>96</v>
      </c>
      <c r="Y22" s="8" t="s">
        <v>85</v>
      </c>
      <c r="Z22" s="8" t="s">
        <v>86</v>
      </c>
      <c r="AA22" s="8" t="s">
        <v>101</v>
      </c>
      <c r="AB22" s="8" t="s">
        <v>102</v>
      </c>
      <c r="AC22" s="8" t="s">
        <v>87</v>
      </c>
      <c r="AD22" s="8" t="s">
        <v>88</v>
      </c>
      <c r="AE22" s="8" t="s">
        <v>103</v>
      </c>
    </row>
    <row r="23" spans="1:31" x14ac:dyDescent="0.3">
      <c r="A23" s="2" t="s">
        <v>12</v>
      </c>
      <c r="B23" s="2" t="s">
        <v>24</v>
      </c>
      <c r="C23" s="2" t="s">
        <v>36</v>
      </c>
      <c r="D23" s="2" t="s">
        <v>40</v>
      </c>
      <c r="G23" s="4" t="s">
        <v>57</v>
      </c>
      <c r="H23" s="4" t="s">
        <v>58</v>
      </c>
      <c r="I23" s="4"/>
      <c r="J23" s="4"/>
      <c r="K23" s="4" t="s">
        <v>59</v>
      </c>
      <c r="L23" s="5">
        <v>100000000</v>
      </c>
      <c r="M23" s="4" t="s">
        <v>40</v>
      </c>
      <c r="N23" s="7">
        <v>0</v>
      </c>
      <c r="O23" s="7">
        <v>7</v>
      </c>
      <c r="P23" s="7"/>
      <c r="Q23" s="7"/>
      <c r="R23" s="7"/>
      <c r="S23" s="7"/>
      <c r="T23" s="36">
        <v>2500000</v>
      </c>
      <c r="U23" s="3"/>
      <c r="V23" s="9">
        <v>1</v>
      </c>
      <c r="W23" s="6">
        <v>100000000</v>
      </c>
      <c r="X23" s="13">
        <v>7</v>
      </c>
      <c r="Y23" s="2">
        <v>5.9062000000000001</v>
      </c>
      <c r="Z23" s="12">
        <f>IF(C23="Interest Rate",W23*Y23,W23)</f>
        <v>590620000</v>
      </c>
      <c r="AA23" s="2" t="s">
        <v>100</v>
      </c>
      <c r="AB23" s="14">
        <v>1</v>
      </c>
      <c r="AC23" s="14">
        <v>1</v>
      </c>
      <c r="AD23" s="2">
        <f>Z23*AB23*AC23</f>
        <v>590620000</v>
      </c>
      <c r="AE23" s="2">
        <v>3</v>
      </c>
    </row>
    <row r="24" spans="1:31" x14ac:dyDescent="0.3">
      <c r="A24" s="2" t="s">
        <v>13</v>
      </c>
      <c r="B24" s="2" t="s">
        <v>25</v>
      </c>
      <c r="C24" s="2" t="s">
        <v>36</v>
      </c>
      <c r="D24" s="2" t="s">
        <v>40</v>
      </c>
      <c r="G24" s="4" t="s">
        <v>57</v>
      </c>
      <c r="H24" s="4" t="s">
        <v>58</v>
      </c>
      <c r="I24" s="4"/>
      <c r="J24" s="4"/>
      <c r="K24" s="4" t="s">
        <v>60</v>
      </c>
      <c r="L24" s="5">
        <v>5000000</v>
      </c>
      <c r="M24" s="4" t="s">
        <v>40</v>
      </c>
      <c r="N24" s="7">
        <v>0</v>
      </c>
      <c r="O24" s="7">
        <v>3</v>
      </c>
      <c r="P24" s="7"/>
      <c r="Q24" s="7"/>
      <c r="R24" s="7"/>
      <c r="S24" s="7"/>
      <c r="T24" s="36">
        <v>-800000</v>
      </c>
      <c r="U24" s="7"/>
      <c r="V24" s="9">
        <v>1</v>
      </c>
      <c r="W24" s="6">
        <v>50000000</v>
      </c>
      <c r="X24" s="13">
        <v>3</v>
      </c>
      <c r="Y24" s="2">
        <v>2.7858000000000001</v>
      </c>
      <c r="Z24" s="12">
        <f t="shared" ref="Z24:Z34" si="0">IF(C24="Interest Rate",W24*Y24,W24)</f>
        <v>139290000</v>
      </c>
      <c r="AA24" s="2" t="s">
        <v>100</v>
      </c>
      <c r="AB24" s="14">
        <v>-1</v>
      </c>
      <c r="AC24" s="14">
        <v>1</v>
      </c>
      <c r="AD24" s="2">
        <f t="shared" ref="AD24:AD34" si="1">Z24*AB24*AC24</f>
        <v>-139290000</v>
      </c>
      <c r="AE24" s="2">
        <v>2</v>
      </c>
    </row>
    <row r="25" spans="1:31" ht="20.399999999999999" x14ac:dyDescent="0.3">
      <c r="A25" s="2" t="s">
        <v>14</v>
      </c>
      <c r="B25" s="2" t="s">
        <v>26</v>
      </c>
      <c r="C25" s="2" t="s">
        <v>36</v>
      </c>
      <c r="D25" s="2" t="s">
        <v>41</v>
      </c>
      <c r="G25" s="4" t="s">
        <v>61</v>
      </c>
      <c r="H25" s="4" t="s">
        <v>62</v>
      </c>
      <c r="I25" s="4" t="s">
        <v>63</v>
      </c>
      <c r="J25" s="4" t="s">
        <v>64</v>
      </c>
      <c r="K25" s="4"/>
      <c r="L25" s="5">
        <v>30000000</v>
      </c>
      <c r="M25" s="4" t="s">
        <v>41</v>
      </c>
      <c r="N25" s="7">
        <v>1</v>
      </c>
      <c r="O25" s="7">
        <v>6</v>
      </c>
      <c r="P25" s="7">
        <v>1</v>
      </c>
      <c r="Q25" s="9">
        <v>3.2000000000000001E-2</v>
      </c>
      <c r="R25" s="9">
        <v>0.03</v>
      </c>
      <c r="S25" s="11">
        <v>50</v>
      </c>
      <c r="T25" s="36">
        <v>300000</v>
      </c>
      <c r="U25" s="3"/>
      <c r="V25" s="9">
        <v>1.08</v>
      </c>
      <c r="W25" s="6">
        <v>32400000</v>
      </c>
      <c r="X25" s="13">
        <v>1</v>
      </c>
      <c r="Y25" s="2">
        <v>4.2081999999999997</v>
      </c>
      <c r="Z25" s="12">
        <f t="shared" si="0"/>
        <v>136345680</v>
      </c>
      <c r="AA25" s="2">
        <v>0.37909999999999999</v>
      </c>
      <c r="AB25" s="14">
        <v>0.64770000000000005</v>
      </c>
      <c r="AC25" s="14">
        <v>1</v>
      </c>
      <c r="AD25" s="2">
        <f t="shared" si="1"/>
        <v>88311096.936000004</v>
      </c>
      <c r="AE25" s="2">
        <v>3</v>
      </c>
    </row>
    <row r="26" spans="1:31" x14ac:dyDescent="0.3">
      <c r="A26" s="2" t="s">
        <v>15</v>
      </c>
      <c r="B26" s="2" t="s">
        <v>27</v>
      </c>
      <c r="C26" s="2" t="s">
        <v>37</v>
      </c>
      <c r="D26" s="2" t="s">
        <v>42</v>
      </c>
      <c r="G26" s="4" t="s">
        <v>65</v>
      </c>
      <c r="H26" s="4" t="s">
        <v>58</v>
      </c>
      <c r="I26" s="4"/>
      <c r="J26" s="4"/>
      <c r="K26" s="4" t="s">
        <v>60</v>
      </c>
      <c r="L26" s="5">
        <v>3000000000</v>
      </c>
      <c r="M26" s="4" t="s">
        <v>66</v>
      </c>
      <c r="N26" s="7">
        <v>0</v>
      </c>
      <c r="O26" s="7">
        <v>0.5</v>
      </c>
      <c r="P26" s="7"/>
      <c r="Q26" s="7"/>
      <c r="R26" s="7"/>
      <c r="S26" s="7"/>
      <c r="T26" s="36">
        <v>150000</v>
      </c>
      <c r="U26" s="3"/>
      <c r="V26" s="7">
        <v>6.6670000000000002E-3</v>
      </c>
      <c r="W26" s="6">
        <v>20000000</v>
      </c>
      <c r="X26" s="13">
        <v>0.5</v>
      </c>
      <c r="Y26" s="2" t="s">
        <v>100</v>
      </c>
      <c r="Z26" s="12">
        <f t="shared" si="0"/>
        <v>20000000</v>
      </c>
      <c r="AA26" s="2" t="s">
        <v>100</v>
      </c>
      <c r="AB26" s="14">
        <v>-1</v>
      </c>
      <c r="AC26" s="14">
        <v>0.70709999999999995</v>
      </c>
      <c r="AD26" s="2">
        <f t="shared" si="1"/>
        <v>-14141999.999999998</v>
      </c>
      <c r="AE26" s="2" t="s">
        <v>100</v>
      </c>
    </row>
    <row r="27" spans="1:31" x14ac:dyDescent="0.3">
      <c r="A27" s="2" t="s">
        <v>16</v>
      </c>
      <c r="B27" s="2" t="s">
        <v>28</v>
      </c>
      <c r="C27" s="2" t="s">
        <v>37</v>
      </c>
      <c r="D27" s="2" t="s">
        <v>43</v>
      </c>
      <c r="G27" s="4" t="s">
        <v>67</v>
      </c>
      <c r="H27" s="4" t="s">
        <v>62</v>
      </c>
      <c r="I27" s="4" t="s">
        <v>63</v>
      </c>
      <c r="J27" s="4" t="s">
        <v>64</v>
      </c>
      <c r="K27" s="4"/>
      <c r="L27" s="5">
        <v>15000000</v>
      </c>
      <c r="M27" s="4" t="s">
        <v>41</v>
      </c>
      <c r="N27" s="7">
        <v>0</v>
      </c>
      <c r="O27" s="7">
        <v>1</v>
      </c>
      <c r="P27" s="7">
        <v>1</v>
      </c>
      <c r="Q27" s="9">
        <v>1.08</v>
      </c>
      <c r="R27" s="9">
        <v>1.05</v>
      </c>
      <c r="S27" s="11">
        <v>15</v>
      </c>
      <c r="T27" s="36">
        <v>200000</v>
      </c>
      <c r="U27" s="3"/>
      <c r="V27" s="9">
        <v>1.08</v>
      </c>
      <c r="W27" s="6">
        <v>16200000</v>
      </c>
      <c r="X27" s="13">
        <v>1</v>
      </c>
      <c r="Y27" s="2" t="s">
        <v>100</v>
      </c>
      <c r="Z27" s="12">
        <f t="shared" si="0"/>
        <v>16200000</v>
      </c>
      <c r="AA27" s="2">
        <v>0.26279999999999998</v>
      </c>
      <c r="AB27" s="14">
        <v>0.60360000000000003</v>
      </c>
      <c r="AC27" s="14">
        <v>1</v>
      </c>
      <c r="AD27" s="2">
        <f t="shared" si="1"/>
        <v>9778320</v>
      </c>
      <c r="AE27" s="2" t="s">
        <v>100</v>
      </c>
    </row>
    <row r="28" spans="1:31" x14ac:dyDescent="0.3">
      <c r="A28" s="2" t="s">
        <v>17</v>
      </c>
      <c r="B28" s="2" t="s">
        <v>29</v>
      </c>
      <c r="C28" s="2" t="s">
        <v>38</v>
      </c>
      <c r="D28" s="2" t="s">
        <v>38</v>
      </c>
      <c r="E28" s="2" t="s">
        <v>48</v>
      </c>
      <c r="F28" s="2" t="s">
        <v>54</v>
      </c>
      <c r="G28" s="4" t="s">
        <v>68</v>
      </c>
      <c r="H28" s="4" t="s">
        <v>58</v>
      </c>
      <c r="I28" s="4"/>
      <c r="J28" s="4"/>
      <c r="K28" s="4" t="s">
        <v>59</v>
      </c>
      <c r="L28" s="5">
        <v>10000000</v>
      </c>
      <c r="M28" s="4" t="s">
        <v>40</v>
      </c>
      <c r="N28" s="7">
        <v>0</v>
      </c>
      <c r="O28" s="7">
        <v>1</v>
      </c>
      <c r="P28" s="7"/>
      <c r="Q28" s="7"/>
      <c r="R28" s="7"/>
      <c r="S28" s="7"/>
      <c r="T28" s="36">
        <v>500000</v>
      </c>
      <c r="U28" s="3"/>
      <c r="V28" s="9">
        <v>1</v>
      </c>
      <c r="W28" s="6">
        <v>10000000</v>
      </c>
      <c r="X28" s="13">
        <v>1</v>
      </c>
      <c r="Y28" s="2" t="s">
        <v>100</v>
      </c>
      <c r="Z28" s="12">
        <f t="shared" si="0"/>
        <v>10000000</v>
      </c>
      <c r="AA28" s="2" t="s">
        <v>100</v>
      </c>
      <c r="AB28" s="14">
        <v>1</v>
      </c>
      <c r="AC28" s="14">
        <v>1</v>
      </c>
      <c r="AD28" s="2">
        <f t="shared" si="1"/>
        <v>10000000</v>
      </c>
      <c r="AE28" s="2" t="s">
        <v>100</v>
      </c>
    </row>
    <row r="29" spans="1:31" ht="20.399999999999999" x14ac:dyDescent="0.3">
      <c r="A29" s="2" t="s">
        <v>18</v>
      </c>
      <c r="B29" s="2" t="s">
        <v>30</v>
      </c>
      <c r="C29" s="2" t="s">
        <v>38</v>
      </c>
      <c r="D29" s="2" t="s">
        <v>38</v>
      </c>
      <c r="E29" s="2" t="s">
        <v>49</v>
      </c>
      <c r="F29" s="2" t="s">
        <v>55</v>
      </c>
      <c r="G29" s="4" t="s">
        <v>69</v>
      </c>
      <c r="H29" s="4" t="s">
        <v>62</v>
      </c>
      <c r="I29" s="4" t="s">
        <v>70</v>
      </c>
      <c r="J29" s="4" t="s">
        <v>64</v>
      </c>
      <c r="K29" s="4"/>
      <c r="L29" s="5">
        <v>12000000</v>
      </c>
      <c r="M29" s="4" t="s">
        <v>40</v>
      </c>
      <c r="N29" s="7">
        <v>0</v>
      </c>
      <c r="O29" s="7">
        <v>2</v>
      </c>
      <c r="P29" s="7">
        <v>2</v>
      </c>
      <c r="Q29" s="10">
        <v>5500</v>
      </c>
      <c r="R29" s="10">
        <v>5300</v>
      </c>
      <c r="S29" s="11">
        <v>75</v>
      </c>
      <c r="T29" s="36">
        <v>100000</v>
      </c>
      <c r="U29" s="3"/>
      <c r="V29" s="9">
        <v>1</v>
      </c>
      <c r="W29" s="6">
        <v>12000000</v>
      </c>
      <c r="X29" s="13">
        <v>2</v>
      </c>
      <c r="Y29" s="2" t="s">
        <v>100</v>
      </c>
      <c r="Z29" s="12">
        <f t="shared" si="0"/>
        <v>12000000</v>
      </c>
      <c r="AA29" s="2">
        <v>0.56530000000000002</v>
      </c>
      <c r="AB29" s="14">
        <v>-0.28599999999999998</v>
      </c>
      <c r="AC29" s="14">
        <v>1</v>
      </c>
      <c r="AD29" s="2">
        <f t="shared" si="1"/>
        <v>-3431999.9999999995</v>
      </c>
      <c r="AE29" s="2" t="s">
        <v>100</v>
      </c>
    </row>
    <row r="30" spans="1:31" ht="20.399999999999999" x14ac:dyDescent="0.3">
      <c r="A30" s="2" t="s">
        <v>19</v>
      </c>
      <c r="B30" s="2" t="s">
        <v>31</v>
      </c>
      <c r="C30" s="2" t="s">
        <v>39</v>
      </c>
      <c r="D30" s="2" t="s">
        <v>44</v>
      </c>
      <c r="E30" s="2" t="s">
        <v>50</v>
      </c>
      <c r="F30" s="2" t="s">
        <v>56</v>
      </c>
      <c r="G30" s="4" t="s">
        <v>71</v>
      </c>
      <c r="H30" s="4" t="s">
        <v>58</v>
      </c>
      <c r="I30" s="4"/>
      <c r="J30" s="4"/>
      <c r="K30" s="4" t="s">
        <v>59</v>
      </c>
      <c r="L30" s="5">
        <v>8000000</v>
      </c>
      <c r="M30" s="4" t="s">
        <v>40</v>
      </c>
      <c r="N30" s="7">
        <v>0</v>
      </c>
      <c r="O30" s="7">
        <v>0.75</v>
      </c>
      <c r="P30" s="7"/>
      <c r="Q30" s="7"/>
      <c r="R30" s="7"/>
      <c r="S30" s="7"/>
      <c r="T30" s="36">
        <v>-300000</v>
      </c>
      <c r="U30" s="7"/>
      <c r="V30" s="9">
        <v>1</v>
      </c>
      <c r="W30" s="6">
        <v>8000000</v>
      </c>
      <c r="X30" s="13">
        <v>0.75</v>
      </c>
      <c r="Y30" s="2" t="s">
        <v>100</v>
      </c>
      <c r="Z30" s="12">
        <f t="shared" si="0"/>
        <v>8000000</v>
      </c>
      <c r="AA30" s="2" t="s">
        <v>100</v>
      </c>
      <c r="AB30" s="14">
        <v>1</v>
      </c>
      <c r="AC30" s="14">
        <v>0.86599999999999999</v>
      </c>
      <c r="AD30" s="2">
        <f t="shared" si="1"/>
        <v>6928000</v>
      </c>
      <c r="AE30" s="2" t="s">
        <v>100</v>
      </c>
    </row>
    <row r="31" spans="1:31" ht="20.399999999999999" x14ac:dyDescent="0.3">
      <c r="A31" s="2" t="s">
        <v>20</v>
      </c>
      <c r="B31" s="2" t="s">
        <v>32</v>
      </c>
      <c r="C31" s="2" t="s">
        <v>39</v>
      </c>
      <c r="D31" s="2" t="s">
        <v>44</v>
      </c>
      <c r="E31" s="2" t="s">
        <v>51</v>
      </c>
      <c r="F31" s="2" t="s">
        <v>51</v>
      </c>
      <c r="G31" s="4" t="s">
        <v>71</v>
      </c>
      <c r="H31" s="4" t="s">
        <v>58</v>
      </c>
      <c r="I31" s="4"/>
      <c r="J31" s="4"/>
      <c r="K31" s="4" t="s">
        <v>59</v>
      </c>
      <c r="L31" s="5">
        <v>3000000</v>
      </c>
      <c r="M31" s="4" t="s">
        <v>40</v>
      </c>
      <c r="N31" s="7">
        <v>0</v>
      </c>
      <c r="O31" s="7">
        <v>0.5</v>
      </c>
      <c r="P31" s="7"/>
      <c r="Q31" s="7"/>
      <c r="R31" s="7"/>
      <c r="S31" s="7"/>
      <c r="T31" s="36">
        <v>80000</v>
      </c>
      <c r="U31" s="3"/>
      <c r="V31" s="9">
        <v>1</v>
      </c>
      <c r="W31" s="6">
        <v>3000000</v>
      </c>
      <c r="X31" s="13">
        <v>0.5</v>
      </c>
      <c r="Y31" s="2" t="s">
        <v>100</v>
      </c>
      <c r="Z31" s="12">
        <f t="shared" si="0"/>
        <v>3000000</v>
      </c>
      <c r="AA31" s="2" t="s">
        <v>100</v>
      </c>
      <c r="AB31" s="14">
        <v>1</v>
      </c>
      <c r="AC31" s="14">
        <v>0.70709999999999995</v>
      </c>
      <c r="AD31" s="2">
        <f t="shared" si="1"/>
        <v>2121300</v>
      </c>
      <c r="AE31" s="2" t="s">
        <v>100</v>
      </c>
    </row>
    <row r="32" spans="1:31" ht="20.399999999999999" x14ac:dyDescent="0.3">
      <c r="A32" s="2" t="s">
        <v>21</v>
      </c>
      <c r="B32" s="2" t="s">
        <v>33</v>
      </c>
      <c r="C32" s="2" t="s">
        <v>39</v>
      </c>
      <c r="D32" s="2" t="s">
        <v>45</v>
      </c>
      <c r="E32" s="2" t="s">
        <v>52</v>
      </c>
      <c r="F32" s="2" t="s">
        <v>45</v>
      </c>
      <c r="G32" s="4" t="s">
        <v>72</v>
      </c>
      <c r="H32" s="4" t="s">
        <v>62</v>
      </c>
      <c r="I32" s="4" t="s">
        <v>63</v>
      </c>
      <c r="J32" s="4" t="s">
        <v>73</v>
      </c>
      <c r="K32" s="4"/>
      <c r="L32" s="5">
        <v>5000000</v>
      </c>
      <c r="M32" s="4" t="s">
        <v>40</v>
      </c>
      <c r="N32" s="7">
        <v>0</v>
      </c>
      <c r="O32" s="7">
        <v>1</v>
      </c>
      <c r="P32" s="7">
        <v>1</v>
      </c>
      <c r="Q32" s="10">
        <v>2400</v>
      </c>
      <c r="R32" s="10">
        <v>2500</v>
      </c>
      <c r="S32" s="11">
        <v>70</v>
      </c>
      <c r="T32" s="36">
        <v>50000</v>
      </c>
      <c r="U32" s="3"/>
      <c r="V32" s="9">
        <v>1</v>
      </c>
      <c r="W32" s="6">
        <v>5000000</v>
      </c>
      <c r="X32" s="13">
        <v>1</v>
      </c>
      <c r="Y32" s="2" t="s">
        <v>100</v>
      </c>
      <c r="Z32" s="12">
        <f t="shared" si="0"/>
        <v>5000000</v>
      </c>
      <c r="AA32" s="2">
        <v>0.29170000000000001</v>
      </c>
      <c r="AB32" s="14">
        <v>-0.61470000000000002</v>
      </c>
      <c r="AC32" s="14">
        <v>1</v>
      </c>
      <c r="AD32" s="2">
        <f t="shared" si="1"/>
        <v>-3073500</v>
      </c>
      <c r="AE32" s="2" t="s">
        <v>100</v>
      </c>
    </row>
    <row r="33" spans="1:31" x14ac:dyDescent="0.3">
      <c r="A33" s="2" t="s">
        <v>22</v>
      </c>
      <c r="B33" s="2" t="s">
        <v>34</v>
      </c>
      <c r="C33" s="2" t="s">
        <v>36</v>
      </c>
      <c r="D33" s="2" t="s">
        <v>46</v>
      </c>
      <c r="E33" s="2" t="s">
        <v>53</v>
      </c>
      <c r="G33" s="4" t="s">
        <v>74</v>
      </c>
      <c r="H33" s="4" t="s">
        <v>58</v>
      </c>
      <c r="I33" s="4"/>
      <c r="J33" s="4"/>
      <c r="K33" s="4" t="s">
        <v>59</v>
      </c>
      <c r="L33" s="5">
        <v>50000000</v>
      </c>
      <c r="M33" s="4" t="s">
        <v>40</v>
      </c>
      <c r="N33" s="7">
        <v>0</v>
      </c>
      <c r="O33" s="7">
        <v>2</v>
      </c>
      <c r="P33" s="7"/>
      <c r="Q33" s="7"/>
      <c r="R33" s="7"/>
      <c r="S33" s="7"/>
      <c r="T33" s="36">
        <v>20000</v>
      </c>
      <c r="U33" s="3" t="s">
        <v>98</v>
      </c>
      <c r="V33" s="9">
        <v>1</v>
      </c>
      <c r="W33" s="6">
        <v>50000000</v>
      </c>
      <c r="X33" s="13">
        <v>2</v>
      </c>
      <c r="Y33" s="2">
        <v>1.9033</v>
      </c>
      <c r="Z33" s="12">
        <f t="shared" si="0"/>
        <v>95165000</v>
      </c>
      <c r="AA33" s="2" t="s">
        <v>100</v>
      </c>
      <c r="AB33" s="14">
        <v>1</v>
      </c>
      <c r="AC33" s="14">
        <v>1</v>
      </c>
      <c r="AD33" s="2">
        <f t="shared" si="1"/>
        <v>95165000</v>
      </c>
      <c r="AE33" s="2">
        <v>2</v>
      </c>
    </row>
    <row r="34" spans="1:31" ht="20.399999999999999" x14ac:dyDescent="0.3">
      <c r="A34" s="2" t="s">
        <v>23</v>
      </c>
      <c r="B34" s="2" t="s">
        <v>35</v>
      </c>
      <c r="C34" s="2" t="s">
        <v>38</v>
      </c>
      <c r="D34" s="2" t="s">
        <v>47</v>
      </c>
      <c r="E34" s="2" t="s">
        <v>49</v>
      </c>
      <c r="F34" s="2" t="s">
        <v>55</v>
      </c>
      <c r="G34" s="4" t="s">
        <v>75</v>
      </c>
      <c r="H34" s="4" t="s">
        <v>58</v>
      </c>
      <c r="I34" s="4"/>
      <c r="J34" s="4"/>
      <c r="K34" s="4" t="s">
        <v>59</v>
      </c>
      <c r="L34" s="5">
        <v>5000000</v>
      </c>
      <c r="M34" s="4" t="s">
        <v>40</v>
      </c>
      <c r="N34" s="7">
        <v>0</v>
      </c>
      <c r="O34" s="7">
        <v>1</v>
      </c>
      <c r="P34" s="7"/>
      <c r="Q34" s="7"/>
      <c r="R34" s="7"/>
      <c r="S34" s="7"/>
      <c r="T34" s="36">
        <v>50000</v>
      </c>
      <c r="U34" s="3" t="s">
        <v>99</v>
      </c>
      <c r="V34" s="9">
        <v>1</v>
      </c>
      <c r="W34" s="6">
        <v>5000000</v>
      </c>
      <c r="X34" s="13">
        <v>1</v>
      </c>
      <c r="Y34" s="2" t="s">
        <v>100</v>
      </c>
      <c r="Z34" s="12">
        <f t="shared" si="0"/>
        <v>5000000</v>
      </c>
      <c r="AA34" s="2" t="s">
        <v>100</v>
      </c>
      <c r="AB34" s="14">
        <v>1</v>
      </c>
      <c r="AC34" s="14">
        <v>1</v>
      </c>
      <c r="AD34" s="2">
        <f t="shared" si="1"/>
        <v>5000000</v>
      </c>
      <c r="AE34" s="2" t="s">
        <v>100</v>
      </c>
    </row>
    <row r="35" spans="1:31" x14ac:dyDescent="0.3">
      <c r="T35" s="37"/>
    </row>
    <row r="36" spans="1:31" ht="14.4" customHeight="1" x14ac:dyDescent="0.3">
      <c r="A36" s="51"/>
      <c r="B36" s="51"/>
      <c r="C36" s="51"/>
      <c r="D36" s="51"/>
      <c r="E36" s="51"/>
      <c r="F36" s="51"/>
    </row>
    <row r="37" spans="1:31" ht="35.4" customHeight="1" x14ac:dyDescent="0.3">
      <c r="A37" s="52" t="s">
        <v>104</v>
      </c>
      <c r="B37" s="52"/>
      <c r="C37" s="52"/>
      <c r="D37" s="52"/>
      <c r="E37" s="52"/>
      <c r="F37" s="52"/>
      <c r="G37" s="52"/>
      <c r="H37" s="52"/>
      <c r="I37" s="52"/>
    </row>
    <row r="38" spans="1:3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31" x14ac:dyDescent="0.3">
      <c r="A39" s="53" t="s">
        <v>105</v>
      </c>
      <c r="B39" s="53"/>
      <c r="C39" s="53"/>
      <c r="D39" s="53"/>
      <c r="E39" s="53"/>
      <c r="F39" s="53"/>
      <c r="G39" s="53"/>
      <c r="H39" s="53"/>
      <c r="I39" s="4"/>
      <c r="J39" s="7"/>
      <c r="K39" s="7"/>
      <c r="L39" s="7"/>
      <c r="M39" s="7"/>
      <c r="N39" s="7"/>
      <c r="O39" s="7"/>
      <c r="P39" s="3"/>
      <c r="Q39" s="7"/>
      <c r="R39" s="6"/>
      <c r="S39" s="7"/>
      <c r="T39" s="6"/>
      <c r="U39" s="6"/>
    </row>
    <row r="40" spans="1:31" ht="44.4" customHeight="1" x14ac:dyDescent="0.3">
      <c r="A40" s="15" t="s">
        <v>1</v>
      </c>
      <c r="B40" s="15" t="s">
        <v>89</v>
      </c>
      <c r="C40" s="16" t="s">
        <v>90</v>
      </c>
      <c r="D40" s="16" t="s">
        <v>91</v>
      </c>
      <c r="E40" s="16" t="s">
        <v>92</v>
      </c>
      <c r="F40" s="16" t="s">
        <v>93</v>
      </c>
      <c r="G40" s="16" t="s">
        <v>88</v>
      </c>
      <c r="H40" s="17" t="s">
        <v>94</v>
      </c>
      <c r="I40" s="4"/>
      <c r="J40" s="7"/>
      <c r="K40" s="7"/>
      <c r="L40" s="7"/>
      <c r="M40" s="7"/>
      <c r="N40" s="7"/>
      <c r="O40" s="7"/>
      <c r="P40" s="7"/>
      <c r="Q40" s="7"/>
      <c r="R40" s="6"/>
      <c r="S40" s="7"/>
      <c r="T40" s="6"/>
      <c r="U40" s="6"/>
    </row>
    <row r="41" spans="1:31" x14ac:dyDescent="0.3">
      <c r="A41" s="2" t="s">
        <v>24</v>
      </c>
      <c r="B41" s="2" t="s">
        <v>40</v>
      </c>
      <c r="C41" s="4">
        <f xml:space="preserve"> SUMIFS($AD$23:$AD$34,$D$23:$D$34,B41,$AE$23:$AE$34,1)</f>
        <v>0</v>
      </c>
      <c r="D41" s="4">
        <f xml:space="preserve"> SUMIFS($AD$23:$AD$34,$D$23:$D$34,B41,$AE$23:$AE$34,2)</f>
        <v>-139290000</v>
      </c>
      <c r="E41" s="4">
        <f xml:space="preserve"> SUMIFS($AD$23:$AD$34,$D$23:$D$34,B41,$AE$23:$AE$34,3)</f>
        <v>590620000</v>
      </c>
      <c r="F41" s="18">
        <v>5.0000000000000001E-3</v>
      </c>
      <c r="G41" s="4">
        <f>SQRT(C41^2+D41^2+E41^2+1.4*C41*D41+1.4*D41*E41+0.6*C41*E41)</f>
        <v>503049942.62995398</v>
      </c>
      <c r="H41" s="5">
        <f>F41*G41</f>
        <v>2515249.7131497702</v>
      </c>
      <c r="I41" s="4"/>
      <c r="J41" s="7"/>
      <c r="K41" s="7"/>
      <c r="L41" s="7"/>
      <c r="M41" s="7"/>
      <c r="N41" s="7"/>
      <c r="O41" s="7"/>
      <c r="P41" s="3"/>
      <c r="Q41" s="7"/>
      <c r="R41" s="6"/>
      <c r="S41" s="7"/>
      <c r="T41" s="6"/>
      <c r="U41" s="6"/>
    </row>
    <row r="42" spans="1:31" x14ac:dyDescent="0.3">
      <c r="A42" s="2" t="s">
        <v>24</v>
      </c>
      <c r="B42" s="2" t="s">
        <v>41</v>
      </c>
      <c r="C42" s="4">
        <f t="shared" ref="C42:C43" si="2" xml:space="preserve"> SUMIFS($AD$23:$AD$34,$D$23:$D$34,B42,$AE$23:$AE$34,1)</f>
        <v>0</v>
      </c>
      <c r="D42" s="4">
        <f t="shared" ref="D42:D43" si="3" xml:space="preserve"> SUMIFS($AD$23:$AD$34,$D$23:$D$34,B42,$AE$23:$AE$34,2)</f>
        <v>0</v>
      </c>
      <c r="E42" s="4">
        <f t="shared" ref="E42:E43" si="4" xml:space="preserve"> SUMIFS($AD$23:$AD$34,$D$23:$D$34,B42,$AE$23:$AE$34,3)</f>
        <v>88311096.936000004</v>
      </c>
      <c r="F42" s="18">
        <v>5.0000000000000001E-3</v>
      </c>
      <c r="G42" s="4">
        <f t="shared" ref="G42:G43" si="5">SQRT(C42^2+D42^2+E42^2+1.4*C42*D42+1.4*D42*E42+0.6*C42*E42)</f>
        <v>88311096.936000004</v>
      </c>
      <c r="H42" s="5">
        <f t="shared" ref="H42:H43" si="6">F42*G42</f>
        <v>441555.48468000005</v>
      </c>
      <c r="I42" s="4"/>
      <c r="J42" s="7"/>
      <c r="K42" s="7"/>
      <c r="L42" s="7"/>
      <c r="M42" s="7"/>
      <c r="N42" s="7"/>
      <c r="O42" s="7"/>
      <c r="P42" s="3"/>
      <c r="Q42" s="7"/>
      <c r="R42" s="6"/>
      <c r="S42" s="7"/>
      <c r="T42" s="6"/>
      <c r="U42" s="6"/>
    </row>
    <row r="43" spans="1:31" x14ac:dyDescent="0.3">
      <c r="A43" s="2" t="s">
        <v>24</v>
      </c>
      <c r="B43" s="2" t="s">
        <v>46</v>
      </c>
      <c r="C43" s="4">
        <f t="shared" si="2"/>
        <v>0</v>
      </c>
      <c r="D43" s="4">
        <f t="shared" si="3"/>
        <v>95165000</v>
      </c>
      <c r="E43" s="4">
        <f t="shared" si="4"/>
        <v>0</v>
      </c>
      <c r="F43" s="18">
        <f>F42/2</f>
        <v>2.5000000000000001E-3</v>
      </c>
      <c r="G43" s="4">
        <f t="shared" si="5"/>
        <v>95165000</v>
      </c>
      <c r="H43" s="5">
        <f t="shared" si="6"/>
        <v>237912.5</v>
      </c>
      <c r="I43" s="4"/>
      <c r="J43" s="7"/>
      <c r="K43" s="7"/>
      <c r="L43" s="7"/>
      <c r="M43" s="7"/>
      <c r="N43" s="7"/>
      <c r="O43" s="7"/>
      <c r="P43" s="3"/>
      <c r="Q43" s="7"/>
      <c r="R43" s="6"/>
      <c r="S43" s="7"/>
      <c r="T43" s="6"/>
      <c r="U43" s="6"/>
    </row>
    <row r="44" spans="1:31" x14ac:dyDescent="0.3">
      <c r="C44" s="4"/>
      <c r="D44" s="4"/>
      <c r="E44" s="4"/>
      <c r="F44" s="4"/>
      <c r="G44" s="4"/>
      <c r="H44" s="5"/>
      <c r="I44" s="4"/>
      <c r="J44" s="7"/>
      <c r="K44" s="7"/>
      <c r="L44" s="7"/>
      <c r="M44" s="7"/>
      <c r="N44" s="7"/>
      <c r="O44" s="7"/>
      <c r="P44" s="3"/>
      <c r="Q44" s="7"/>
      <c r="R44" s="6"/>
      <c r="S44" s="7"/>
      <c r="T44" s="6"/>
      <c r="U44" s="6"/>
    </row>
    <row r="45" spans="1:31" ht="24.6" customHeight="1" x14ac:dyDescent="0.3">
      <c r="A45" s="54" t="s">
        <v>106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7"/>
      <c r="P45" s="3"/>
      <c r="Q45" s="7"/>
      <c r="R45" s="6"/>
      <c r="S45" s="7"/>
      <c r="T45" s="6"/>
      <c r="U45" s="6"/>
    </row>
    <row r="46" spans="1:31" ht="20.399999999999999" x14ac:dyDescent="0.3">
      <c r="A46" s="15" t="s">
        <v>107</v>
      </c>
      <c r="B46" s="15" t="s">
        <v>108</v>
      </c>
      <c r="C46" s="16" t="s">
        <v>109</v>
      </c>
      <c r="D46" s="16" t="s">
        <v>93</v>
      </c>
      <c r="E46" s="20" t="s">
        <v>110</v>
      </c>
      <c r="F46" s="16"/>
      <c r="G46" s="16"/>
      <c r="H46" s="17"/>
      <c r="I46" s="4"/>
      <c r="J46" s="7"/>
      <c r="K46" s="7"/>
      <c r="L46" s="7"/>
      <c r="M46" s="7"/>
      <c r="N46" s="7"/>
      <c r="O46" s="7"/>
      <c r="P46" s="7"/>
      <c r="Q46" s="7"/>
      <c r="R46" s="6"/>
      <c r="S46" s="7"/>
      <c r="T46" s="6"/>
      <c r="U46" s="6"/>
    </row>
    <row r="47" spans="1:31" x14ac:dyDescent="0.3">
      <c r="A47" s="2" t="s">
        <v>24</v>
      </c>
      <c r="B47" s="2" t="s">
        <v>42</v>
      </c>
      <c r="C47" s="4">
        <f>SUMIFS($AD$23:$AD$34,$D$23:$D$34,B47)</f>
        <v>-14141999.999999998</v>
      </c>
      <c r="D47" s="21">
        <v>0.04</v>
      </c>
      <c r="E47" s="19">
        <f>D47*ABS(C47)</f>
        <v>565679.99999999988</v>
      </c>
      <c r="F47" s="4"/>
      <c r="G47" s="4"/>
      <c r="H47" s="5"/>
      <c r="I47" s="4"/>
      <c r="J47" s="7"/>
      <c r="K47" s="7"/>
      <c r="L47" s="7"/>
      <c r="M47" s="7"/>
      <c r="N47" s="7"/>
      <c r="O47" s="7"/>
      <c r="P47" s="3"/>
      <c r="Q47" s="7"/>
      <c r="R47" s="6"/>
      <c r="S47" s="7"/>
      <c r="T47" s="6"/>
      <c r="U47" s="6"/>
    </row>
    <row r="48" spans="1:31" x14ac:dyDescent="0.3">
      <c r="C48" s="4"/>
      <c r="D48" s="4"/>
      <c r="E48" s="4"/>
      <c r="F48" s="4"/>
      <c r="G48" s="4"/>
      <c r="H48" s="5"/>
      <c r="I48" s="4"/>
      <c r="J48" s="7"/>
      <c r="K48" s="7"/>
      <c r="L48" s="7"/>
      <c r="M48" s="3"/>
      <c r="N48" s="3"/>
      <c r="O48" s="7"/>
      <c r="P48" s="3"/>
      <c r="Q48" s="7"/>
      <c r="R48" s="6"/>
      <c r="S48" s="7"/>
      <c r="T48" s="6"/>
      <c r="U48" s="6"/>
    </row>
    <row r="49" spans="1:21" x14ac:dyDescent="0.3">
      <c r="A49" s="22" t="s">
        <v>111</v>
      </c>
      <c r="B49" s="22"/>
      <c r="C49" s="23"/>
      <c r="D49" s="23"/>
      <c r="E49" s="23"/>
      <c r="F49" s="23"/>
      <c r="G49" s="23"/>
      <c r="H49" s="24"/>
      <c r="I49" s="23"/>
      <c r="J49" s="25"/>
      <c r="K49" s="25"/>
      <c r="L49" s="25"/>
      <c r="M49" s="25"/>
      <c r="N49" s="25"/>
      <c r="O49" s="7"/>
      <c r="P49" s="3"/>
      <c r="Q49" s="7"/>
      <c r="R49" s="6"/>
      <c r="S49" s="7"/>
      <c r="T49" s="6"/>
      <c r="U49" s="6"/>
    </row>
    <row r="50" spans="1:21" ht="20.399999999999999" x14ac:dyDescent="0.3">
      <c r="A50" s="15" t="s">
        <v>1</v>
      </c>
      <c r="B50" s="15" t="s">
        <v>112</v>
      </c>
      <c r="C50" s="16" t="s">
        <v>113</v>
      </c>
      <c r="D50" s="16" t="s">
        <v>88</v>
      </c>
      <c r="E50" s="16" t="s">
        <v>93</v>
      </c>
      <c r="F50" s="16" t="s">
        <v>114</v>
      </c>
      <c r="G50" s="16" t="s">
        <v>115</v>
      </c>
      <c r="H50" s="26" t="s">
        <v>116</v>
      </c>
      <c r="I50" s="16" t="s">
        <v>117</v>
      </c>
      <c r="J50" s="27"/>
      <c r="K50" s="27"/>
      <c r="L50" s="27"/>
      <c r="M50" s="7"/>
      <c r="N50" s="7"/>
      <c r="O50" s="7"/>
      <c r="P50" s="3"/>
      <c r="Q50" s="7"/>
      <c r="R50" s="6"/>
      <c r="S50" s="7"/>
      <c r="T50" s="6"/>
      <c r="U50" s="6"/>
    </row>
    <row r="51" spans="1:21" x14ac:dyDescent="0.3">
      <c r="A51" s="2" t="s">
        <v>24</v>
      </c>
      <c r="B51" s="2" t="s">
        <v>38</v>
      </c>
      <c r="C51" s="2" t="s">
        <v>48</v>
      </c>
      <c r="D51" s="2">
        <f>SUMIFS($AD$23:AD$34,E$23:E$34,C51,$D$23:$D$34,B51)</f>
        <v>10000000</v>
      </c>
      <c r="E51" s="29">
        <v>0.32</v>
      </c>
      <c r="F51" s="29">
        <v>0.5</v>
      </c>
      <c r="G51" s="2">
        <f>E51*D51</f>
        <v>3200000</v>
      </c>
      <c r="H51" s="2">
        <f>G51*F51</f>
        <v>1600000</v>
      </c>
      <c r="I51" s="2">
        <f>(1-F51^2)*G51^2</f>
        <v>7680000000000</v>
      </c>
    </row>
    <row r="52" spans="1:21" x14ac:dyDescent="0.3">
      <c r="A52" s="2" t="s">
        <v>24</v>
      </c>
      <c r="B52" s="2" t="s">
        <v>38</v>
      </c>
      <c r="C52" s="28" t="s">
        <v>49</v>
      </c>
      <c r="D52" s="2">
        <f>SUMIFS($AD$23:AD$34,E$23:E$34,C52,$D$23:$D$34,B52)</f>
        <v>-3431999.9999999995</v>
      </c>
      <c r="E52" s="29">
        <v>0.2</v>
      </c>
      <c r="F52" s="29">
        <v>0.8</v>
      </c>
      <c r="G52" s="2">
        <f t="shared" ref="G52:G53" si="7">E52*D52</f>
        <v>-686400</v>
      </c>
      <c r="H52" s="2">
        <f t="shared" ref="H52:H53" si="8">G52*F52</f>
        <v>-549120</v>
      </c>
      <c r="I52" s="2">
        <f t="shared" ref="I52:I53" si="9">(1-F52^2)*G52^2</f>
        <v>169612185599.99994</v>
      </c>
    </row>
    <row r="53" spans="1:21" x14ac:dyDescent="0.3">
      <c r="A53" s="2" t="s">
        <v>24</v>
      </c>
      <c r="B53" s="28" t="s">
        <v>47</v>
      </c>
      <c r="C53" s="2" t="s">
        <v>49</v>
      </c>
      <c r="D53" s="2">
        <f>SUMIFS($AD$23:AD$34,E$23:E$34,C53,$D$23:$D$34,B53)</f>
        <v>5000000</v>
      </c>
      <c r="E53" s="29">
        <v>1</v>
      </c>
      <c r="F53" s="29">
        <v>0.8</v>
      </c>
      <c r="G53" s="2">
        <f t="shared" si="7"/>
        <v>5000000</v>
      </c>
      <c r="H53" s="2">
        <f t="shared" si="8"/>
        <v>4000000</v>
      </c>
      <c r="I53" s="2">
        <f t="shared" si="9"/>
        <v>8999999999999.9961</v>
      </c>
    </row>
    <row r="55" spans="1:21" ht="19.2" customHeight="1" x14ac:dyDescent="0.3">
      <c r="A55" s="55" t="s">
        <v>118</v>
      </c>
      <c r="B55" s="55"/>
      <c r="C55" s="55"/>
      <c r="D55" s="55"/>
      <c r="E55" s="55"/>
      <c r="F55" s="55"/>
      <c r="G55" s="55"/>
      <c r="H55" s="55"/>
      <c r="I55" s="55"/>
      <c r="J55" s="30"/>
      <c r="K55" s="30"/>
      <c r="L55" s="30"/>
      <c r="M55" s="30"/>
      <c r="N55" s="30"/>
    </row>
    <row r="56" spans="1:21" ht="31.2" customHeight="1" x14ac:dyDescent="0.3">
      <c r="A56" s="15" t="s">
        <v>1</v>
      </c>
      <c r="B56" s="15" t="s">
        <v>112</v>
      </c>
      <c r="C56" s="15" t="s">
        <v>119</v>
      </c>
      <c r="D56" s="15" t="s">
        <v>121</v>
      </c>
      <c r="E56" s="15" t="s">
        <v>120</v>
      </c>
      <c r="F56" s="15"/>
      <c r="G56" s="15"/>
      <c r="H56" s="15"/>
    </row>
    <row r="57" spans="1:21" x14ac:dyDescent="0.3">
      <c r="A57" s="2" t="s">
        <v>24</v>
      </c>
      <c r="B57" s="2" t="s">
        <v>38</v>
      </c>
      <c r="C57" s="2">
        <f>H51+H52</f>
        <v>1050880</v>
      </c>
      <c r="D57" s="2">
        <f>I51+I52</f>
        <v>7849612185600</v>
      </c>
      <c r="E57" s="2">
        <f>SQRT(C57^2+D57)</f>
        <v>2992316.9885558584</v>
      </c>
    </row>
    <row r="58" spans="1:21" x14ac:dyDescent="0.3">
      <c r="A58" s="2" t="s">
        <v>24</v>
      </c>
      <c r="B58" s="2" t="s">
        <v>47</v>
      </c>
      <c r="C58" s="2">
        <f>H53</f>
        <v>4000000</v>
      </c>
      <c r="D58" s="2">
        <f>I53</f>
        <v>8999999999999.9961</v>
      </c>
      <c r="E58" s="2">
        <f>SQRT(C58^2+D58)</f>
        <v>5000000</v>
      </c>
    </row>
    <row r="60" spans="1:21" x14ac:dyDescent="0.3">
      <c r="A60" s="22" t="s">
        <v>122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21" ht="43.2" x14ac:dyDescent="0.3">
      <c r="A61" s="15" t="s">
        <v>1</v>
      </c>
      <c r="B61" s="15" t="s">
        <v>123</v>
      </c>
      <c r="C61" s="15" t="s">
        <v>124</v>
      </c>
      <c r="D61" s="15" t="s">
        <v>88</v>
      </c>
      <c r="E61" s="15" t="s">
        <v>93</v>
      </c>
      <c r="F61" s="15" t="s">
        <v>126</v>
      </c>
      <c r="G61" s="15" t="s">
        <v>125</v>
      </c>
      <c r="H61" s="15" t="s">
        <v>127</v>
      </c>
      <c r="I61" s="31" t="s">
        <v>128</v>
      </c>
    </row>
    <row r="62" spans="1:21" x14ac:dyDescent="0.3">
      <c r="A62" s="2" t="s">
        <v>24</v>
      </c>
      <c r="B62" s="2" t="s">
        <v>44</v>
      </c>
      <c r="C62" s="2" t="s">
        <v>50</v>
      </c>
      <c r="D62" s="2">
        <f t="shared" ref="D62:D64" si="10">SUMIFS($AD$23:$AD$34,$E$23:$E$34,C62,$D$23:$D$34,B62)</f>
        <v>6928000</v>
      </c>
      <c r="E62" s="29">
        <v>0.18</v>
      </c>
      <c r="F62" s="29">
        <v>0.4</v>
      </c>
      <c r="G62" s="2">
        <f>D62*E62</f>
        <v>1247040</v>
      </c>
      <c r="H62" s="2">
        <f>G62*F62</f>
        <v>498816</v>
      </c>
      <c r="I62" s="2">
        <f>(1-F62^2)*G62^2</f>
        <v>1306291359744</v>
      </c>
    </row>
    <row r="63" spans="1:21" x14ac:dyDescent="0.3">
      <c r="A63" s="2" t="s">
        <v>24</v>
      </c>
      <c r="B63" s="2" t="s">
        <v>44</v>
      </c>
      <c r="C63" s="2" t="s">
        <v>51</v>
      </c>
      <c r="D63" s="2">
        <f t="shared" si="10"/>
        <v>2121300</v>
      </c>
      <c r="E63" s="29">
        <v>0.4</v>
      </c>
      <c r="F63" s="29">
        <v>0.4</v>
      </c>
      <c r="G63" s="2">
        <f t="shared" ref="G63:G64" si="11">D63*E63</f>
        <v>848520</v>
      </c>
      <c r="H63" s="2">
        <f t="shared" ref="H63:H64" si="12">G63*F63</f>
        <v>339408</v>
      </c>
      <c r="I63" s="2">
        <f t="shared" ref="I63:I64" si="13">(1-F63^2)*G63^2</f>
        <v>604788399936</v>
      </c>
    </row>
    <row r="64" spans="1:21" x14ac:dyDescent="0.3">
      <c r="A64" s="2" t="s">
        <v>24</v>
      </c>
      <c r="B64" s="2" t="s">
        <v>45</v>
      </c>
      <c r="C64" s="2" t="s">
        <v>52</v>
      </c>
      <c r="D64" s="2">
        <f t="shared" si="10"/>
        <v>-3073500</v>
      </c>
      <c r="E64" s="29">
        <v>0.18</v>
      </c>
      <c r="F64" s="29">
        <v>0.4</v>
      </c>
      <c r="G64" s="2">
        <f t="shared" si="11"/>
        <v>-553230</v>
      </c>
      <c r="H64" s="2">
        <f t="shared" si="12"/>
        <v>-221292</v>
      </c>
      <c r="I64" s="2">
        <f t="shared" si="13"/>
        <v>257093283636</v>
      </c>
    </row>
    <row r="66" spans="1:9" x14ac:dyDescent="0.3">
      <c r="A66" s="22" t="s">
        <v>129</v>
      </c>
      <c r="B66" s="22"/>
      <c r="C66" s="22"/>
      <c r="D66" s="22"/>
      <c r="E66" s="22"/>
      <c r="F66" s="22"/>
      <c r="G66" s="22"/>
      <c r="H66" s="22"/>
      <c r="I66" s="22"/>
    </row>
    <row r="67" spans="1:9" ht="28.8" x14ac:dyDescent="0.3">
      <c r="A67" s="15" t="s">
        <v>1</v>
      </c>
      <c r="B67" s="15" t="s">
        <v>123</v>
      </c>
      <c r="C67" s="15" t="s">
        <v>119</v>
      </c>
      <c r="D67" s="15" t="s">
        <v>130</v>
      </c>
      <c r="E67" s="15" t="s">
        <v>131</v>
      </c>
      <c r="F67" s="15"/>
      <c r="G67" s="15"/>
      <c r="H67" s="15"/>
      <c r="I67" s="15"/>
    </row>
    <row r="68" spans="1:9" x14ac:dyDescent="0.3">
      <c r="A68" s="2" t="s">
        <v>24</v>
      </c>
      <c r="B68" s="2" t="s">
        <v>44</v>
      </c>
      <c r="C68" s="2">
        <f>SUMIF($B$62:$B$64,B68,$H$62:$H$64)</f>
        <v>838224</v>
      </c>
      <c r="D68" s="2">
        <f>SUMIF($B$62:$B$64,B68,$I$62:$I$64)</f>
        <v>1911079759680</v>
      </c>
      <c r="E68" s="2">
        <f>SQRT(C68^2+D68)</f>
        <v>1616693.920894119</v>
      </c>
    </row>
    <row r="69" spans="1:9" x14ac:dyDescent="0.3">
      <c r="A69" s="2" t="s">
        <v>24</v>
      </c>
      <c r="B69" s="2" t="s">
        <v>45</v>
      </c>
      <c r="C69" s="2">
        <f>SUMIF($B$62:$B$64,B69,$H$62:$H$64)</f>
        <v>-221292</v>
      </c>
      <c r="D69" s="2">
        <f>SUMIF($B$62:$B$64,B69,$I$62:$I$64)</f>
        <v>257093283636</v>
      </c>
      <c r="E69" s="2">
        <f>SQRT(C69^2+D69)</f>
        <v>553230</v>
      </c>
    </row>
    <row r="71" spans="1:9" s="32" customFormat="1" ht="21" x14ac:dyDescent="0.4">
      <c r="C71" s="43" t="s">
        <v>132</v>
      </c>
      <c r="D71" s="43"/>
      <c r="E71" s="43"/>
      <c r="F71" s="43"/>
      <c r="G71" s="43"/>
      <c r="H71" s="43"/>
      <c r="I71" s="43"/>
    </row>
    <row r="73" spans="1:9" ht="19.2" customHeight="1" x14ac:dyDescent="0.3">
      <c r="A73" s="44" t="s">
        <v>133</v>
      </c>
      <c r="B73" s="44"/>
      <c r="C73" s="44"/>
      <c r="D73" s="44"/>
      <c r="E73" s="44"/>
      <c r="F73" s="44"/>
      <c r="G73" s="44"/>
    </row>
    <row r="74" spans="1:9" ht="19.8" customHeight="1" x14ac:dyDescent="0.3">
      <c r="A74" s="2" t="s">
        <v>134</v>
      </c>
      <c r="B74" s="33">
        <f>SUM(H41:H43)</f>
        <v>3194717.6978297704</v>
      </c>
    </row>
    <row r="75" spans="1:9" x14ac:dyDescent="0.3">
      <c r="A75" s="2" t="s">
        <v>135</v>
      </c>
      <c r="B75" s="2">
        <f>E47</f>
        <v>565679.99999999988</v>
      </c>
    </row>
    <row r="76" spans="1:9" x14ac:dyDescent="0.3">
      <c r="A76" s="2" t="s">
        <v>136</v>
      </c>
      <c r="B76" s="2">
        <f>SUM(E57:E58)</f>
        <v>7992316.9885558579</v>
      </c>
    </row>
    <row r="77" spans="1:9" x14ac:dyDescent="0.3">
      <c r="A77" s="2" t="s">
        <v>137</v>
      </c>
      <c r="B77" s="2">
        <f>SUM(E68:E69)</f>
        <v>2169923.920894119</v>
      </c>
    </row>
    <row r="78" spans="1:9" x14ac:dyDescent="0.3">
      <c r="A78" t="s">
        <v>138</v>
      </c>
      <c r="B78" s="34">
        <f>SUM(B74:B77)</f>
        <v>13922638.607279748</v>
      </c>
      <c r="C78"/>
      <c r="D78"/>
    </row>
    <row r="80" spans="1:9" x14ac:dyDescent="0.3">
      <c r="A80" s="35" t="s">
        <v>139</v>
      </c>
      <c r="B80" s="35"/>
      <c r="C80" s="35"/>
      <c r="D80" s="35"/>
      <c r="E80" s="35"/>
      <c r="F80" s="35"/>
      <c r="G80" s="35"/>
    </row>
    <row r="81" spans="1:2" x14ac:dyDescent="0.3">
      <c r="A81" s="2" t="s">
        <v>140</v>
      </c>
      <c r="B81" s="33">
        <f>SUM(T23:T34)</f>
        <v>2850000</v>
      </c>
    </row>
    <row r="82" spans="1:2" x14ac:dyDescent="0.3">
      <c r="A82" s="2" t="s">
        <v>141</v>
      </c>
      <c r="B82" s="2">
        <v>0</v>
      </c>
    </row>
    <row r="83" spans="1:2" x14ac:dyDescent="0.3">
      <c r="A83" s="2" t="s">
        <v>142</v>
      </c>
      <c r="B83" s="33">
        <f>SUM(B81:B82)</f>
        <v>2850000</v>
      </c>
    </row>
    <row r="85" spans="1:2" x14ac:dyDescent="0.3">
      <c r="A85" s="2" t="s">
        <v>143</v>
      </c>
    </row>
    <row r="86" spans="1:2" x14ac:dyDescent="0.3">
      <c r="A86" s="2" t="s">
        <v>144</v>
      </c>
      <c r="B86" s="2">
        <f>1.4*(B83+B78)</f>
        <v>23481694.050191645</v>
      </c>
    </row>
  </sheetData>
  <mergeCells count="11">
    <mergeCell ref="C71:I71"/>
    <mergeCell ref="A73:G73"/>
    <mergeCell ref="A11:E11"/>
    <mergeCell ref="A1:F1"/>
    <mergeCell ref="A2:F2"/>
    <mergeCell ref="A4:B4"/>
    <mergeCell ref="A36:F36"/>
    <mergeCell ref="A37:I37"/>
    <mergeCell ref="A39:H39"/>
    <mergeCell ref="A45:N45"/>
    <mergeCell ref="A55:I5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Mishu Kumar</dc:creator>
  <cp:lastModifiedBy>Mishu Kumar</cp:lastModifiedBy>
  <dcterms:created xsi:type="dcterms:W3CDTF">2026-08-04T09:36:50Z</dcterms:created>
  <dcterms:modified xsi:type="dcterms:W3CDTF">2026-08-31T14:34:31Z</dcterms:modified>
</cp:coreProperties>
</file>